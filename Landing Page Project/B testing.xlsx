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Projects\Excel\"/>
    </mc:Choice>
  </mc:AlternateContent>
  <xr:revisionPtr revIDLastSave="0" documentId="13_ncr:1_{532F014F-CBFD-43D9-85AD-263FBD0491F0}" xr6:coauthVersionLast="47" xr6:coauthVersionMax="47" xr10:uidLastSave="{00000000-0000-0000-0000-000000000000}"/>
  <bookViews>
    <workbookView xWindow="-110" yWindow="-110" windowWidth="19420" windowHeight="10300" xr2:uid="{D0FF32FA-F0DF-41E3-A96E-29A43C856A5A}"/>
  </bookViews>
  <sheets>
    <sheet name="Sheet1" sheetId="1" r:id="rId1"/>
  </sheets>
  <definedNames>
    <definedName name="ExternalData_1" localSheetId="0" hidden="1">Sheet1!$A$1:$D$3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1" l="1"/>
  <c r="N2" i="1"/>
  <c r="N1" i="1"/>
  <c r="K6" i="1"/>
  <c r="K5" i="1"/>
  <c r="H5" i="1"/>
  <c r="H4" i="1"/>
  <c r="H3" i="1"/>
  <c r="H2" i="1"/>
  <c r="K4" i="1"/>
  <c r="K3" i="1"/>
  <c r="K2" i="1"/>
  <c r="H1" i="1"/>
  <c r="E2" i="1"/>
  <c r="E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351918-3589-4431-A814-34AC7A8EBAC9}" keepAlive="1" name="Query - Landing_Page" description="Connection to the 'Landing_Page' query in the workbook." type="5" refreshedVersion="8" background="1" saveData="1">
    <dbPr connection="Provider=Microsoft.Mashup.OleDb.1;Data Source=$Workbook$;Location=Landing_Page;Extended Properties=&quot;&quot;" command="SELECT * FROM [Landing_Page]"/>
  </connection>
  <connection id="2" xr16:uid="{918AC66C-9A41-4D09-B1C3-F7D30BA88F52}" keepAlive="1" name="Query - website_pageviews" description="Connection to the 'website_pageviews' query in the workbook." type="5" refreshedVersion="0" background="1">
    <dbPr connection="Provider=Microsoft.Mashup.OleDb.1;Data Source=$Workbook$;Location=website_pageviews;Extended Properties=&quot;&quot;" command="SELECT * FROM [website_pageviews]"/>
  </connection>
  <connection id="3" xr16:uid="{82EED57E-F0F2-45C2-85F7-4C10EF83E59E}" keepAlive="1" name="Query - website_sessions" description="Connection to the 'website_sessions' query in the workbook." type="5" refreshedVersion="0" background="1">
    <dbPr connection="Provider=Microsoft.Mashup.OleDb.1;Data Source=$Workbook$;Location=website_sessions;Extended Properties=&quot;&quot;" command="SELECT * FROM [website_sessions]"/>
  </connection>
</connections>
</file>

<file path=xl/sharedStrings.xml><?xml version="1.0" encoding="utf-8"?>
<sst xmlns="http://schemas.openxmlformats.org/spreadsheetml/2006/main" count="20" uniqueCount="20">
  <si>
    <t>landing_page</t>
  </si>
  <si>
    <t>session</t>
  </si>
  <si>
    <t>bounced_session</t>
  </si>
  <si>
    <t>bounced_rate</t>
  </si>
  <si>
    <t>/lander-1</t>
  </si>
  <si>
    <t>/home</t>
  </si>
  <si>
    <t>1-p</t>
  </si>
  <si>
    <t>p1 - p2:</t>
  </si>
  <si>
    <t>Confidence:</t>
  </si>
  <si>
    <t>Alpha:</t>
  </si>
  <si>
    <t>Alpha/2:</t>
  </si>
  <si>
    <t>Z</t>
  </si>
  <si>
    <t>p1:</t>
  </si>
  <si>
    <t>p2:</t>
  </si>
  <si>
    <t>n1:</t>
  </si>
  <si>
    <t>n2:</t>
  </si>
  <si>
    <t>Std Error:</t>
  </si>
  <si>
    <t>Margin of error</t>
  </si>
  <si>
    <t>lower bound:</t>
  </si>
  <si>
    <t>upper bound: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</si>
</sst>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NumberFormat="1"/>
    <xf numFmtId="9" fontId="0" fillId="0" borderId="0" xfId="1" applyFont="1"/>
    <xf numFmtId="166" fontId="0" fillId="0" borderId="0" xfId="0" applyNumberFormat="1"/>
    <xf numFmtId="0" fontId="0" fillId="0" borderId="1" xfId="0" applyBorder="1"/>
    <xf numFmtId="9" fontId="0" fillId="0" borderId="1" xfId="0" applyNumberFormat="1" applyBorder="1"/>
    <xf numFmtId="2" fontId="0" fillId="0" borderId="1" xfId="0" applyNumberFormat="1" applyBorder="1"/>
    <xf numFmtId="0" fontId="0" fillId="0" borderId="1" xfId="0" applyFill="1" applyBorder="1"/>
    <xf numFmtId="167" fontId="0" fillId="0" borderId="1" xfId="1" applyNumberFormat="1" applyFont="1" applyBorder="1"/>
    <xf numFmtId="167" fontId="0" fillId="0" borderId="1" xfId="0" applyNumberFormat="1" applyBorder="1"/>
  </cellXfs>
  <cellStyles count="2">
    <cellStyle name="Normal" xfId="0" builtinId="0"/>
    <cellStyle name="Percent" xfId="1" builtinId="5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361950</xdr:colOff>
      <xdr:row>7</xdr:row>
      <xdr:rowOff>12700</xdr:rowOff>
    </xdr:from>
    <xdr:to>
      <xdr:col>11</xdr:col>
      <xdr:colOff>597303</xdr:colOff>
      <xdr:row>18</xdr:row>
      <xdr:rowOff>127114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802C50-A695-5492-ECC2-AC48AEE4CE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3714"/>
        <a:stretch>
          <a:fillRect/>
        </a:stretch>
      </xdr:blipFill>
      <xdr:spPr>
        <a:xfrm>
          <a:off x="1352550" y="1301750"/>
          <a:ext cx="7836303" cy="2140064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93FED28-D1AE-49A6-9211-AAD5342F0500}" autoFormatId="16" applyNumberFormats="0" applyBorderFormats="0" applyFontFormats="0" applyPatternFormats="0" applyAlignmentFormats="0" applyWidthHeightFormats="0">
  <queryTableRefresh nextId="6" unboundColumnsRight="1">
    <queryTableFields count="5">
      <queryTableField id="1" name="landing_page" tableColumnId="1"/>
      <queryTableField id="2" name="session" tableColumnId="2"/>
      <queryTableField id="3" name="bounced_session" tableColumnId="3"/>
      <queryTableField id="4" name="bounced_rate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22D9E9-9243-490F-9AAD-3FF4E0EF790C}" name="Landing_Page" displayName="Landing_Page" ref="A1:E3" tableType="queryTable" totalsRowShown="0">
  <autoFilter ref="A1:E3" xr:uid="{2422D9E9-9243-490F-9AAD-3FF4E0EF790C}"/>
  <tableColumns count="5">
    <tableColumn id="1" xr3:uid="{7AFD290B-D3CA-4C24-AB1D-1F615002132F}" uniqueName="1" name="landing_page" queryTableFieldId="1" dataDxfId="1"/>
    <tableColumn id="2" xr3:uid="{184BDED7-2F07-4F46-A67B-5F72E2573BBC}" uniqueName="2" name="session" queryTableFieldId="2"/>
    <tableColumn id="3" xr3:uid="{23F6C749-99DF-4E64-8526-8081FA1A1075}" uniqueName="3" name="bounced_session" queryTableFieldId="3"/>
    <tableColumn id="4" xr3:uid="{D0D5F92F-69D7-424F-A23E-7873D6C2E43A}" uniqueName="4" name="bounced_rate" queryTableFieldId="4"/>
    <tableColumn id="5" xr3:uid="{DB68BFDA-66E8-4D80-91F6-E442C467833F}" uniqueName="5" name="1-p" queryTableFieldId="5" dataDxfId="0">
      <calculatedColumnFormula>1-Landing_Page[[#This Row],[bounced_rate]]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F3022-4A47-4146-BC4F-118D7F2519EC}">
  <dimension ref="A1:O11"/>
  <sheetViews>
    <sheetView showGridLines="0" tabSelected="1" workbookViewId="0">
      <selection activeCell="M11" sqref="M11"/>
    </sheetView>
  </sheetViews>
  <sheetFormatPr defaultRowHeight="14.5" x14ac:dyDescent="0.35"/>
  <cols>
    <col min="1" max="1" width="14.1796875" bestFit="1" customWidth="1"/>
    <col min="2" max="2" width="9.453125" bestFit="1" customWidth="1"/>
    <col min="3" max="3" width="17.7265625" bestFit="1" customWidth="1"/>
    <col min="4" max="4" width="14.54296875" bestFit="1" customWidth="1"/>
    <col min="5" max="5" width="10.1796875" customWidth="1"/>
    <col min="10" max="10" width="12.453125" bestFit="1" customWidth="1"/>
    <col min="11" max="11" width="9.54296875" customWidth="1"/>
    <col min="13" max="13" width="11.36328125" bestFit="1" customWidth="1"/>
    <col min="14" max="14" width="13.816406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6</v>
      </c>
      <c r="G1" t="s">
        <v>7</v>
      </c>
      <c r="H1" s="2">
        <f>D3-D2</f>
        <v>5.0986770492217004E-2</v>
      </c>
      <c r="J1" s="4" t="s">
        <v>8</v>
      </c>
      <c r="K1" s="5">
        <v>0.95</v>
      </c>
      <c r="M1" s="4" t="s">
        <v>18</v>
      </c>
      <c r="N1" s="9">
        <f>H1+K6</f>
        <v>2.2248835453251174E-2</v>
      </c>
    </row>
    <row r="2" spans="1:15" x14ac:dyDescent="0.35">
      <c r="A2" s="1" t="s">
        <v>4</v>
      </c>
      <c r="B2">
        <v>2316</v>
      </c>
      <c r="C2">
        <v>1233</v>
      </c>
      <c r="D2">
        <v>0.53238341968911895</v>
      </c>
      <c r="E2">
        <f>1-Landing_Page[[#This Row],[bounced_rate]]</f>
        <v>0.46761658031088105</v>
      </c>
      <c r="G2" t="s">
        <v>12</v>
      </c>
      <c r="H2" s="2">
        <f>D3</f>
        <v>0.58337019018133596</v>
      </c>
      <c r="J2" s="4" t="s">
        <v>9</v>
      </c>
      <c r="K2" s="6">
        <f>1-K1</f>
        <v>5.0000000000000044E-2</v>
      </c>
      <c r="M2" s="4" t="s">
        <v>19</v>
      </c>
      <c r="N2" s="9">
        <f>H1-K6</f>
        <v>7.9724705531182827E-2</v>
      </c>
    </row>
    <row r="3" spans="1:15" x14ac:dyDescent="0.35">
      <c r="A3" s="1" t="s">
        <v>5</v>
      </c>
      <c r="B3">
        <v>2261</v>
      </c>
      <c r="C3">
        <v>1319</v>
      </c>
      <c r="D3">
        <v>0.58337019018133596</v>
      </c>
      <c r="E3">
        <f>1-Landing_Page[[#This Row],[bounced_rate]]</f>
        <v>0.41662980981866404</v>
      </c>
      <c r="G3" t="s">
        <v>13</v>
      </c>
      <c r="H3" s="2">
        <f>D2</f>
        <v>0.53238341968911895</v>
      </c>
      <c r="J3" s="4" t="s">
        <v>10</v>
      </c>
      <c r="K3" s="4">
        <f>K2/2</f>
        <v>2.5000000000000022E-2</v>
      </c>
    </row>
    <row r="4" spans="1:15" x14ac:dyDescent="0.35">
      <c r="G4" t="s">
        <v>14</v>
      </c>
      <c r="H4">
        <f>B3</f>
        <v>2261</v>
      </c>
      <c r="J4" s="4" t="s">
        <v>11</v>
      </c>
      <c r="K4" s="6">
        <f>_xlfn.NORM.S.INV(K3)</f>
        <v>-1.9599639845400536</v>
      </c>
      <c r="N4" s="3">
        <f>N2-N1</f>
        <v>5.7475870077931653E-2</v>
      </c>
    </row>
    <row r="5" spans="1:15" x14ac:dyDescent="0.35">
      <c r="G5" t="s">
        <v>15</v>
      </c>
      <c r="H5">
        <f>B2</f>
        <v>2316</v>
      </c>
      <c r="J5" s="7" t="s">
        <v>16</v>
      </c>
      <c r="K5" s="4">
        <f>SQRT(SUM(D3*E3/H4,D2*E2/H5))</f>
        <v>1.46624811811069E-2</v>
      </c>
    </row>
    <row r="6" spans="1:15" x14ac:dyDescent="0.35">
      <c r="J6" s="7" t="s">
        <v>17</v>
      </c>
      <c r="K6" s="8">
        <f>K4*K5</f>
        <v>-2.873793503896583E-2</v>
      </c>
    </row>
    <row r="11" spans="1:15" x14ac:dyDescent="0.35">
      <c r="O11" s="3"/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B51990-D989-4E55-96F1-BFD42A4FA6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Uchechukwu EZE</dc:creator>
  <cp:lastModifiedBy>Uchechukwu EZE</cp:lastModifiedBy>
  <dcterms:created xsi:type="dcterms:W3CDTF">2025-12-30T03:00:56Z</dcterms:created>
  <dcterms:modified xsi:type="dcterms:W3CDTF">2025-12-30T04:30:57Z</dcterms:modified>
</cp:coreProperties>
</file>